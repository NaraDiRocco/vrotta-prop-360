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amiancaetano/Downloads/"/>
    </mc:Choice>
  </mc:AlternateContent>
  <xr:revisionPtr revIDLastSave="0" documentId="8_{1FFA95E6-8C00-0641-ABE1-7433C887568A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IMULADOR" sheetId="1" r:id="rId1"/>
    <sheet name="UNIDAD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1" l="1"/>
  <c r="B43" i="1" s="1"/>
  <c r="J56" i="1"/>
  <c r="I56" i="1"/>
  <c r="H56" i="1"/>
  <c r="G56" i="1"/>
  <c r="F56" i="1"/>
  <c r="E56" i="1"/>
  <c r="D56" i="1"/>
  <c r="C56" i="1"/>
  <c r="B56" i="1"/>
  <c r="J55" i="1"/>
  <c r="I55" i="1"/>
  <c r="H55" i="1"/>
  <c r="G55" i="1"/>
  <c r="F55" i="1"/>
  <c r="E55" i="1"/>
  <c r="D55" i="1"/>
  <c r="C55" i="1"/>
  <c r="B55" i="1"/>
  <c r="J54" i="1"/>
  <c r="I54" i="1"/>
  <c r="H54" i="1"/>
  <c r="G54" i="1"/>
  <c r="F54" i="1"/>
  <c r="E54" i="1"/>
  <c r="D54" i="1"/>
  <c r="C54" i="1"/>
  <c r="B54" i="1"/>
  <c r="J53" i="1"/>
  <c r="I53" i="1"/>
  <c r="H53" i="1"/>
  <c r="G53" i="1"/>
  <c r="F53" i="1"/>
  <c r="E53" i="1"/>
  <c r="D53" i="1"/>
  <c r="C53" i="1"/>
  <c r="B53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F51" i="1"/>
  <c r="E51" i="1"/>
  <c r="D51" i="1"/>
  <c r="C51" i="1"/>
  <c r="B51" i="1"/>
  <c r="J50" i="1"/>
  <c r="I50" i="1"/>
  <c r="H50" i="1"/>
  <c r="G50" i="1"/>
  <c r="F50" i="1"/>
  <c r="E50" i="1"/>
  <c r="D50" i="1"/>
  <c r="C50" i="1"/>
  <c r="B50" i="1"/>
  <c r="B44" i="1"/>
  <c r="B22" i="1"/>
  <c r="C21" i="1"/>
  <c r="C20" i="1"/>
  <c r="C19" i="1"/>
  <c r="C18" i="1"/>
  <c r="C17" i="1"/>
  <c r="C22" i="1" s="1"/>
  <c r="C16" i="1"/>
  <c r="C15" i="1"/>
  <c r="C28" i="1" l="1"/>
  <c r="C27" i="1"/>
  <c r="C26" i="1"/>
  <c r="C32" i="1" s="1"/>
  <c r="C31" i="1"/>
  <c r="B45" i="1"/>
  <c r="B46" i="1" l="1"/>
</calcChain>
</file>

<file path=xl/sharedStrings.xml><?xml version="1.0" encoding="utf-8"?>
<sst xmlns="http://schemas.openxmlformats.org/spreadsheetml/2006/main" count="153" uniqueCount="98">
  <si>
    <t>BALEIA PUNTA BALLENA — SIMULADOR DE CONDICIONES DE VENTA</t>
  </si>
  <si>
    <t>Caetano Negocios Inmobiliarios</t>
  </si>
  <si>
    <t>A. DATOS DE LA UNIDAD</t>
  </si>
  <si>
    <t>Unidad (ej: 3A)</t>
  </si>
  <si>
    <t>Tipología</t>
  </si>
  <si>
    <t>Bloque</t>
  </si>
  <si>
    <t>Precio de lista (U$S)</t>
  </si>
  <si>
    <t>Garage / Cochera (U$S)</t>
  </si>
  <si>
    <t>RESUMEN DE PRECIO</t>
  </si>
  <si>
    <t>Precio total unidad + garage (U$S)</t>
  </si>
  <si>
    <t>B. OPCIÓN A — PAGO POR AVANCE DE OBRA</t>
  </si>
  <si>
    <t>Hito</t>
  </si>
  <si>
    <t>% del precio</t>
  </si>
  <si>
    <t>Monto (U$S)</t>
  </si>
  <si>
    <t>1. Boleto de reserva</t>
  </si>
  <si>
    <t>Instrumento: precontrato. Se cobra al inicio.</t>
  </si>
  <si>
    <t>2. Firma del compromiso de compra</t>
  </si>
  <si>
    <t>Escritura ante escribano. Incluye pago del garage.</t>
  </si>
  <si>
    <t xml:space="preserve">   → Garage / Cochera</t>
  </si>
  <si>
    <t>Precio fijo</t>
  </si>
  <si>
    <t>Se abona junto al compromiso de compra</t>
  </si>
  <si>
    <t>3. Estructura terminada</t>
  </si>
  <si>
    <t>4. Instalaciones terminadas</t>
  </si>
  <si>
    <t>5. Terminaciones</t>
  </si>
  <si>
    <t>6. Entrega de llaves</t>
  </si>
  <si>
    <t>TOTAL</t>
  </si>
  <si>
    <t>Incluye garage (B9)</t>
  </si>
  <si>
    <t>* Los % de avance de obra (hitos 3 a 6) son modificables. Hitos 1 y 2 son fijos (10% cada uno). Total debe ser 100%.</t>
  </si>
  <si>
    <t>GASTOS DE OCUPACIÓN, REGLAMENTO Y PLANO</t>
  </si>
  <si>
    <t>Concepto</t>
  </si>
  <si>
    <t>Reglamento, plano y alajamiento — total</t>
  </si>
  <si>
    <t>7.5% total del precio</t>
  </si>
  <si>
    <t xml:space="preserve">   → Cobro a la posesión  (6%)</t>
  </si>
  <si>
    <t xml:space="preserve">Posesión </t>
  </si>
  <si>
    <t xml:space="preserve">   → Cobro en final de obra (1.5%)</t>
  </si>
  <si>
    <t>Final de obra (6-8 años aprox.)</t>
  </si>
  <si>
    <t>ITP — Impuesto Trasmisiones Patrimoniales</t>
  </si>
  <si>
    <t>U$S --</t>
  </si>
  <si>
    <t>Al compromiso de compra</t>
  </si>
  <si>
    <t>Arancel escribano (1% + IVA 22%)</t>
  </si>
  <si>
    <t>Gastos de escritura</t>
  </si>
  <si>
    <t>TOTAL GASTOS ESTIMADOS AL COMPRADOR</t>
  </si>
  <si>
    <t>Excluye el 1.5% de final de obra</t>
  </si>
  <si>
    <t>* ITP se calcula sobre valor catastral (≈ 1/3 del precio comercial). El % es editable si se conoce el valor catastral exacto. Los % en gris son fijos según procedimiento Baleia.</t>
  </si>
  <si>
    <t>C. OPCIÓN B — FINANCIACIÓN EN CUOTAS (TASA FIJA EN U$S)</t>
  </si>
  <si>
    <t>Entrada (%)</t>
  </si>
  <si>
    <t>Tasa anual (%)</t>
  </si>
  <si>
    <t>Plazo (meses)</t>
  </si>
  <si>
    <t>Mayo 2026</t>
  </si>
  <si>
    <t>Monto de entrada (U$S)  ← editable</t>
  </si>
  <si>
    <t>Saldo a financiar (U$S)</t>
  </si>
  <si>
    <t>Tasa mensual</t>
  </si>
  <si>
    <t>Cuota mensual (U$S)</t>
  </si>
  <si>
    <t>Total pagado (U$S)</t>
  </si>
  <si>
    <t>* Podés modificar el monto de entrada directamente en la celda naranja. El saldo y la cuota se recalculan automáticamente.</t>
  </si>
  <si>
    <t>D. TABLA COMPARATIVA — CUOTA MENSUAL SEGÚN ANTICIPO Y PLAZO (U$S)</t>
  </si>
  <si>
    <t>Cuotas \ Anticipo</t>
  </si>
  <si>
    <t>* Cuota mensual calculada con la tasa anual ingresada en B39. Anticipo mínimo 20%, máximo 80%. Plazo máximo 60 meses.</t>
  </si>
  <si>
    <t>BALEIA PUNTA BALLENA — LISTA DE UNIDADES</t>
  </si>
  <si>
    <t>Unidad</t>
  </si>
  <si>
    <t>Dorm</t>
  </si>
  <si>
    <t>M² Cub</t>
  </si>
  <si>
    <t>M² S.Cub</t>
  </si>
  <si>
    <t>M² Desc</t>
  </si>
  <si>
    <t>Cochera</t>
  </si>
  <si>
    <t>M² Total</t>
  </si>
  <si>
    <t>Precio Lista</t>
  </si>
  <si>
    <t>Estado</t>
  </si>
  <si>
    <t>Observaciones</t>
  </si>
  <si>
    <t>2A</t>
  </si>
  <si>
    <t>2</t>
  </si>
  <si>
    <t>Dúplex</t>
  </si>
  <si>
    <t>DISPONIBLE</t>
  </si>
  <si>
    <t>2B</t>
  </si>
  <si>
    <t>2C</t>
  </si>
  <si>
    <t>2D</t>
  </si>
  <si>
    <t>2E</t>
  </si>
  <si>
    <t>2F</t>
  </si>
  <si>
    <t>2 Amb</t>
  </si>
  <si>
    <t>VENDIDO</t>
  </si>
  <si>
    <t>2G</t>
  </si>
  <si>
    <t>2H</t>
  </si>
  <si>
    <t>2I</t>
  </si>
  <si>
    <t>3A</t>
  </si>
  <si>
    <t>3</t>
  </si>
  <si>
    <t>3B</t>
  </si>
  <si>
    <t>3C</t>
  </si>
  <si>
    <t>3D</t>
  </si>
  <si>
    <t>2 Amb PA</t>
  </si>
  <si>
    <t>3E</t>
  </si>
  <si>
    <t>2 Amb PB</t>
  </si>
  <si>
    <t>3F</t>
  </si>
  <si>
    <t>3G</t>
  </si>
  <si>
    <t>3H</t>
  </si>
  <si>
    <t>3I</t>
  </si>
  <si>
    <t>3J</t>
  </si>
  <si>
    <t>3K</t>
  </si>
  <si>
    <t>Total disponibles: 16 unidades  |  Total vendidas: 4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</si>
</sst>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$S &quot;#,##0"/>
    <numFmt numFmtId="165" formatCode="0.0%"/>
  </numFmts>
  <fonts count="2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10"/>
      <color rgb="FF7D1F2E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555555"/>
      <name val="Arial"/>
      <family val="2"/>
      <charset val="1"/>
    </font>
    <font>
      <sz val="10"/>
      <color rgb="FF1F6B1F"/>
      <name val="Arial"/>
      <family val="2"/>
      <charset val="1"/>
    </font>
    <font>
      <i/>
      <sz val="8"/>
      <color rgb="FF555555"/>
      <name val="Arial"/>
      <family val="2"/>
      <charset val="1"/>
    </font>
    <font>
      <i/>
      <sz val="9"/>
      <color rgb="FF555555"/>
      <name val="Arial"/>
      <family val="2"/>
      <charset val="1"/>
    </font>
    <font>
      <sz val="9"/>
      <color rgb="FF555555"/>
      <name val="Arial"/>
      <family val="2"/>
      <charset val="1"/>
    </font>
    <font>
      <b/>
      <sz val="9"/>
      <color rgb="FF1F6B1F"/>
      <name val="Arial"/>
      <family val="2"/>
      <charset val="1"/>
    </font>
    <font>
      <i/>
      <sz val="8"/>
      <color rgb="FFFFFFFF"/>
      <name val="Arial"/>
      <family val="2"/>
      <charset val="1"/>
    </font>
    <font>
      <i/>
      <sz val="8"/>
      <color rgb="FF7D1F2E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555555"/>
      <name val="Arial"/>
      <family val="2"/>
      <charset val="1"/>
    </font>
    <font>
      <sz val="9"/>
      <color rgb="FF1F6B1F"/>
      <name val="Arial"/>
      <family val="2"/>
      <charset val="1"/>
    </font>
    <font>
      <sz val="8"/>
      <color rgb="FF000000"/>
      <name val="Arial"/>
      <family val="2"/>
      <charset val="1"/>
    </font>
    <font>
      <i/>
      <sz val="9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1F6B1F"/>
      <name val="Arial"/>
      <family val="2"/>
    </font>
    <font>
      <b/>
      <sz val="10"/>
      <color rgb="FF000000"/>
      <name val="Arial"/>
      <family val="2"/>
    </font>
    <font>
      <b/>
      <sz val="10"/>
      <color rgb="FF1F6B1F"/>
      <name val="Arial"/>
      <family val="2"/>
    </font>
    <font>
      <i/>
      <sz val="8"/>
      <color rgb="FF7D1F2E"/>
      <name val="Arial"/>
      <family val="2"/>
    </font>
    <font>
      <sz val="9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3"/>
      <color rgb="FFFFFF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7D1F2E"/>
        <bgColor rgb="FFA0354A"/>
      </patternFill>
    </fill>
    <fill>
      <patternFill patternType="solid">
        <fgColor rgb="FFF2F2F2"/>
        <bgColor rgb="FFE2EFDA"/>
      </patternFill>
    </fill>
    <fill>
      <patternFill patternType="solid">
        <fgColor rgb="FFFFFACD"/>
        <bgColor rgb="FFF2F2F2"/>
      </patternFill>
    </fill>
    <fill>
      <patternFill patternType="solid">
        <fgColor rgb="FFA0354A"/>
        <bgColor rgb="FF993366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DDD9"/>
      </patternFill>
    </fill>
    <fill>
      <patternFill patternType="solid">
        <fgColor rgb="FFFFDDD9"/>
        <b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3" borderId="1" xfId="0" applyFont="1" applyFill="1" applyBorder="1" applyAlignment="1">
      <alignment horizontal="left" vertical="center" wrapText="1"/>
    </xf>
    <xf numFmtId="165" fontId="16" fillId="6" borderId="1" xfId="0" applyNumberFormat="1" applyFont="1" applyFill="1" applyBorder="1" applyAlignment="1">
      <alignment horizontal="center" vertical="center" wrapText="1"/>
    </xf>
    <xf numFmtId="164" fontId="17" fillId="7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164" fontId="20" fillId="9" borderId="1" xfId="0" applyNumberFormat="1" applyFont="1" applyFill="1" applyBorder="1" applyAlignment="1">
      <alignment horizontal="right" vertical="center"/>
    </xf>
    <xf numFmtId="0" fontId="21" fillId="3" borderId="1" xfId="0" applyFont="1" applyFill="1" applyBorder="1" applyAlignment="1">
      <alignment horizontal="left" vertical="center" wrapText="1"/>
    </xf>
    <xf numFmtId="164" fontId="22" fillId="7" borderId="1" xfId="0" applyNumberFormat="1" applyFont="1" applyFill="1" applyBorder="1" applyAlignment="1">
      <alignment horizontal="right" vertical="center"/>
    </xf>
    <xf numFmtId="165" fontId="22" fillId="7" borderId="1" xfId="0" applyNumberFormat="1" applyFont="1" applyFill="1" applyBorder="1" applyAlignment="1">
      <alignment horizontal="right" vertical="center"/>
    </xf>
    <xf numFmtId="0" fontId="23" fillId="7" borderId="1" xfId="0" applyFont="1" applyFill="1" applyBorder="1" applyAlignment="1">
      <alignment horizontal="left" vertical="center" wrapText="1"/>
    </xf>
    <xf numFmtId="164" fontId="24" fillId="7" borderId="1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left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3" borderId="1" xfId="0" applyFont="1" applyFill="1" applyBorder="1" applyAlignment="1">
      <alignment horizontal="left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left" vertical="center" wrapText="1"/>
    </xf>
    <xf numFmtId="4" fontId="15" fillId="3" borderId="1" xfId="0" applyNumberFormat="1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4" fontId="15" fillId="8" borderId="1" xfId="0" applyNumberFormat="1" applyFont="1" applyFill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4" fontId="15" fillId="10" borderId="1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1F"/>
      <rgbColor rgb="FF000080"/>
      <rgbColor rgb="FF808000"/>
      <rgbColor rgb="FF800080"/>
      <rgbColor rgb="FF008080"/>
      <rgbColor rgb="FFC0C0C0"/>
      <rgbColor rgb="FF808080"/>
      <rgbColor rgb="FF9999FF"/>
      <rgbColor rgb="FFA0354A"/>
      <rgbColor rgb="FFFFFA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DD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D1F2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showGridLines="0" tabSelected="1" topLeftCell="A29" zoomScaleNormal="100" workbookViewId="0">
      <selection activeCell="C38" sqref="C38"/>
    </sheetView>
  </sheetViews>
  <sheetFormatPr baseColWidth="10" defaultColWidth="8.6640625" defaultRowHeight="15" x14ac:dyDescent="0.2"/>
  <cols>
    <col min="1" max="1" width="44.1640625" style="14" customWidth="1"/>
    <col min="2" max="3" width="12" style="15" customWidth="1"/>
    <col min="4" max="4" width="26.33203125" style="15" customWidth="1"/>
    <col min="5" max="11" width="12" style="15" customWidth="1"/>
    <col min="12" max="16384" width="8.6640625" style="15"/>
  </cols>
  <sheetData>
    <row r="1" spans="1:10" ht="30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8" customHeight="1" x14ac:dyDescent="0.2"/>
    <row r="4" spans="1:10" ht="18" customHeight="1" x14ac:dyDescent="0.2">
      <c r="A4" s="11" t="s">
        <v>2</v>
      </c>
      <c r="B4" s="11"/>
      <c r="C4" s="11"/>
      <c r="D4" s="11"/>
    </row>
    <row r="5" spans="1:10" ht="18" customHeight="1" x14ac:dyDescent="0.2">
      <c r="A5" s="16" t="s">
        <v>3</v>
      </c>
      <c r="B5" s="10"/>
      <c r="C5" s="10"/>
      <c r="D5" s="10"/>
    </row>
    <row r="6" spans="1:10" ht="18" customHeight="1" x14ac:dyDescent="0.2">
      <c r="A6" s="16" t="s">
        <v>4</v>
      </c>
      <c r="B6" s="10"/>
      <c r="C6" s="10"/>
      <c r="D6" s="10"/>
    </row>
    <row r="7" spans="1:10" ht="18" customHeight="1" x14ac:dyDescent="0.2">
      <c r="A7" s="16" t="s">
        <v>5</v>
      </c>
      <c r="B7" s="10"/>
      <c r="C7" s="10"/>
      <c r="D7" s="10"/>
    </row>
    <row r="8" spans="1:10" ht="45.75" customHeight="1" x14ac:dyDescent="0.2">
      <c r="A8" s="16" t="s">
        <v>6</v>
      </c>
      <c r="B8" s="9">
        <v>430000</v>
      </c>
      <c r="C8" s="9"/>
      <c r="D8" s="9"/>
    </row>
    <row r="9" spans="1:10" ht="34.5" customHeight="1" x14ac:dyDescent="0.2">
      <c r="A9" s="16" t="s">
        <v>7</v>
      </c>
      <c r="B9" s="9">
        <v>20000</v>
      </c>
      <c r="C9" s="9"/>
      <c r="D9" s="9"/>
    </row>
    <row r="10" spans="1:10" ht="18" customHeight="1" x14ac:dyDescent="0.2">
      <c r="A10" s="8" t="s">
        <v>8</v>
      </c>
      <c r="B10" s="8"/>
      <c r="C10" s="8"/>
      <c r="D10" s="8"/>
    </row>
    <row r="11" spans="1:10" ht="18" customHeight="1" x14ac:dyDescent="0.2">
      <c r="A11" s="7" t="s">
        <v>9</v>
      </c>
      <c r="B11" s="7"/>
      <c r="C11" s="7"/>
      <c r="D11" s="7"/>
    </row>
    <row r="12" spans="1:10" ht="18" customHeight="1" x14ac:dyDescent="0.2"/>
    <row r="13" spans="1:10" ht="27.75" customHeight="1" x14ac:dyDescent="0.2">
      <c r="A13" s="17" t="s">
        <v>10</v>
      </c>
    </row>
    <row r="14" spans="1:10" ht="27.75" customHeight="1" x14ac:dyDescent="0.2">
      <c r="A14" s="18" t="s">
        <v>11</v>
      </c>
      <c r="B14" s="19" t="s">
        <v>12</v>
      </c>
      <c r="C14" s="19" t="s">
        <v>13</v>
      </c>
    </row>
    <row r="15" spans="1:10" ht="18" customHeight="1" x14ac:dyDescent="0.2">
      <c r="A15" s="16" t="s">
        <v>14</v>
      </c>
      <c r="B15" s="20">
        <v>0.1</v>
      </c>
      <c r="C15" s="21">
        <f>B8*B15</f>
        <v>43000</v>
      </c>
      <c r="D15" s="22" t="s">
        <v>15</v>
      </c>
    </row>
    <row r="16" spans="1:10" ht="27.75" customHeight="1" x14ac:dyDescent="0.2">
      <c r="A16" s="23" t="s">
        <v>16</v>
      </c>
      <c r="B16" s="20">
        <v>0.1</v>
      </c>
      <c r="C16" s="21">
        <f>B8*B16</f>
        <v>43000</v>
      </c>
      <c r="D16" s="22" t="s">
        <v>17</v>
      </c>
    </row>
    <row r="17" spans="1:4" ht="19.5" customHeight="1" x14ac:dyDescent="0.2">
      <c r="A17" s="24" t="s">
        <v>18</v>
      </c>
      <c r="B17" s="25" t="s">
        <v>19</v>
      </c>
      <c r="C17" s="26">
        <f>B9</f>
        <v>20000</v>
      </c>
      <c r="D17" s="27" t="s">
        <v>20</v>
      </c>
    </row>
    <row r="18" spans="1:4" ht="18" customHeight="1" x14ac:dyDescent="0.2">
      <c r="A18" s="16" t="s">
        <v>21</v>
      </c>
      <c r="B18" s="28">
        <v>0.2</v>
      </c>
      <c r="C18" s="21">
        <f>B8*B18</f>
        <v>86000</v>
      </c>
    </row>
    <row r="19" spans="1:4" ht="18" customHeight="1" x14ac:dyDescent="0.2">
      <c r="A19" s="23" t="s">
        <v>22</v>
      </c>
      <c r="B19" s="28">
        <v>0.2</v>
      </c>
      <c r="C19" s="21">
        <f>B8*B19</f>
        <v>86000</v>
      </c>
    </row>
    <row r="20" spans="1:4" ht="18" customHeight="1" x14ac:dyDescent="0.2">
      <c r="A20" s="16" t="s">
        <v>23</v>
      </c>
      <c r="B20" s="28">
        <v>0.2</v>
      </c>
      <c r="C20" s="21">
        <f>B8*B20</f>
        <v>86000</v>
      </c>
      <c r="D20" s="29"/>
    </row>
    <row r="21" spans="1:4" ht="21.75" customHeight="1" x14ac:dyDescent="0.2">
      <c r="A21" s="23" t="s">
        <v>24</v>
      </c>
      <c r="B21" s="28">
        <v>0.2</v>
      </c>
      <c r="C21" s="21">
        <f>B8*B21</f>
        <v>86000</v>
      </c>
      <c r="D21" s="30"/>
    </row>
    <row r="22" spans="1:4" ht="18" customHeight="1" x14ac:dyDescent="0.2">
      <c r="A22" s="31" t="s">
        <v>25</v>
      </c>
      <c r="B22" s="32">
        <f>B15+B16+B18+B19+B20+B21</f>
        <v>1</v>
      </c>
      <c r="C22" s="33">
        <f>C15+C16+C17+C18+C19+C20+C21</f>
        <v>450000</v>
      </c>
      <c r="D22" s="34" t="s">
        <v>26</v>
      </c>
    </row>
    <row r="23" spans="1:4" ht="42.75" customHeight="1" x14ac:dyDescent="0.2">
      <c r="A23" s="35" t="s">
        <v>27</v>
      </c>
    </row>
    <row r="24" spans="1:4" ht="31.5" customHeight="1" x14ac:dyDescent="0.2">
      <c r="A24" s="36" t="s">
        <v>28</v>
      </c>
      <c r="B24" s="37"/>
      <c r="C24" s="37"/>
      <c r="D24" s="37"/>
    </row>
    <row r="25" spans="1:4" ht="19.5" customHeight="1" x14ac:dyDescent="0.2">
      <c r="A25" s="18" t="s">
        <v>29</v>
      </c>
      <c r="B25" s="37"/>
      <c r="C25" s="37"/>
      <c r="D25" s="38"/>
    </row>
    <row r="26" spans="1:4" ht="19.5" customHeight="1" x14ac:dyDescent="0.2">
      <c r="A26" s="39" t="s">
        <v>30</v>
      </c>
      <c r="B26" s="40">
        <v>7.4999999999999997E-2</v>
      </c>
      <c r="C26" s="41">
        <f>C22*B26</f>
        <v>33750</v>
      </c>
      <c r="D26" s="42" t="s">
        <v>31</v>
      </c>
    </row>
    <row r="27" spans="1:4" ht="19.5" customHeight="1" x14ac:dyDescent="0.2">
      <c r="A27" s="43" t="s">
        <v>32</v>
      </c>
      <c r="B27" s="40">
        <v>0.06</v>
      </c>
      <c r="C27" s="41">
        <f>C22*B27</f>
        <v>27000</v>
      </c>
      <c r="D27" s="44" t="s">
        <v>33</v>
      </c>
    </row>
    <row r="28" spans="1:4" ht="19.5" customHeight="1" x14ac:dyDescent="0.2">
      <c r="A28" s="39" t="s">
        <v>34</v>
      </c>
      <c r="B28" s="40">
        <v>1.4999999999999999E-2</v>
      </c>
      <c r="C28" s="41">
        <f>C22*B28</f>
        <v>6750</v>
      </c>
      <c r="D28" s="42" t="s">
        <v>35</v>
      </c>
    </row>
    <row r="29" spans="1:4" ht="19.5" customHeight="1" x14ac:dyDescent="0.2">
      <c r="A29" s="6" t="s">
        <v>36</v>
      </c>
      <c r="B29" s="6"/>
      <c r="C29" s="41" t="s">
        <v>37</v>
      </c>
      <c r="D29" s="44" t="s">
        <v>38</v>
      </c>
    </row>
    <row r="30" spans="1:4" ht="19.5" customHeight="1" x14ac:dyDescent="0.2">
      <c r="A30" s="5" t="s">
        <v>39</v>
      </c>
      <c r="B30" s="5"/>
      <c r="C30" s="5"/>
      <c r="D30" s="5"/>
    </row>
    <row r="31" spans="1:4" ht="18" customHeight="1" x14ac:dyDescent="0.2">
      <c r="A31" s="43" t="s">
        <v>40</v>
      </c>
      <c r="B31" s="28">
        <v>0.01</v>
      </c>
      <c r="C31" s="41">
        <f>C22*B31</f>
        <v>4500</v>
      </c>
      <c r="D31" s="44" t="s">
        <v>38</v>
      </c>
    </row>
    <row r="32" spans="1:4" ht="30" customHeight="1" x14ac:dyDescent="0.2">
      <c r="A32" s="47" t="s">
        <v>41</v>
      </c>
      <c r="B32" s="37"/>
      <c r="C32" s="48">
        <f>C24+C26+C27+C28</f>
        <v>67500</v>
      </c>
      <c r="D32" s="34" t="s">
        <v>42</v>
      </c>
    </row>
    <row r="33" spans="1:10" ht="57" customHeight="1" x14ac:dyDescent="0.2">
      <c r="A33" s="35" t="s">
        <v>43</v>
      </c>
    </row>
    <row r="34" spans="1:10" ht="21.7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8" customHeight="1" x14ac:dyDescent="0.2"/>
    <row r="36" spans="1:10" ht="18" customHeight="1" x14ac:dyDescent="0.2"/>
    <row r="37" spans="1:10" ht="33" customHeight="1" x14ac:dyDescent="0.2">
      <c r="A37" s="17" t="s">
        <v>44</v>
      </c>
    </row>
    <row r="38" spans="1:10" ht="18" customHeight="1" x14ac:dyDescent="0.2">
      <c r="A38" s="16" t="s">
        <v>45</v>
      </c>
      <c r="B38" s="49">
        <v>0.2</v>
      </c>
    </row>
    <row r="39" spans="1:10" ht="18" customHeight="1" x14ac:dyDescent="0.2">
      <c r="A39" s="16" t="s">
        <v>46</v>
      </c>
      <c r="B39" s="49">
        <v>0.05</v>
      </c>
    </row>
    <row r="40" spans="1:10" ht="18" customHeight="1" x14ac:dyDescent="0.2">
      <c r="A40" s="16" t="s">
        <v>47</v>
      </c>
      <c r="B40" s="50">
        <v>60</v>
      </c>
    </row>
    <row r="41" spans="1:10" ht="18" customHeight="1" x14ac:dyDescent="0.2">
      <c r="A41" s="51" t="s">
        <v>48</v>
      </c>
    </row>
    <row r="42" spans="1:10" ht="18" customHeight="1" x14ac:dyDescent="0.2">
      <c r="A42" s="52" t="s">
        <v>49</v>
      </c>
      <c r="B42" s="53">
        <f>B8*B38</f>
        <v>86000</v>
      </c>
    </row>
    <row r="43" spans="1:10" ht="18" customHeight="1" x14ac:dyDescent="0.2">
      <c r="A43" s="54" t="s">
        <v>50</v>
      </c>
      <c r="B43" s="55">
        <f>B8-B42+B9</f>
        <v>364000</v>
      </c>
    </row>
    <row r="44" spans="1:10" ht="18" customHeight="1" x14ac:dyDescent="0.2">
      <c r="A44" s="16" t="s">
        <v>51</v>
      </c>
      <c r="B44" s="56">
        <f>B39/12</f>
        <v>4.1666666666666666E-3</v>
      </c>
      <c r="C44" s="37"/>
      <c r="D44" s="37"/>
      <c r="E44" s="37"/>
      <c r="F44" s="37"/>
      <c r="G44" s="37"/>
      <c r="H44" s="37"/>
      <c r="I44" s="37"/>
      <c r="J44" s="37"/>
    </row>
    <row r="45" spans="1:10" ht="18" customHeight="1" x14ac:dyDescent="0.2">
      <c r="A45" s="57" t="s">
        <v>52</v>
      </c>
      <c r="B45" s="58">
        <f>IFERROR(B43*(B39/12)/((1-(1+B39/12)^(-B40))),0)</f>
        <v>6869.1290464199601</v>
      </c>
    </row>
    <row r="46" spans="1:10" ht="18" customHeight="1" x14ac:dyDescent="0.2">
      <c r="A46" s="16" t="s">
        <v>53</v>
      </c>
      <c r="B46" s="58">
        <f>IFERROR(B42+B43*(B39/12)/((1-(1+B39/12)^(-B40)))*B40,0)</f>
        <v>498147.74278519762</v>
      </c>
    </row>
    <row r="47" spans="1:10" ht="54" customHeight="1" x14ac:dyDescent="0.2">
      <c r="A47" s="59" t="s">
        <v>54</v>
      </c>
    </row>
    <row r="48" spans="1:10" ht="21.75" customHeight="1" x14ac:dyDescent="0.2">
      <c r="A48" s="4" t="s">
        <v>55</v>
      </c>
      <c r="B48" s="4"/>
      <c r="C48" s="4"/>
      <c r="D48" s="4"/>
      <c r="E48" s="4"/>
      <c r="F48" s="4"/>
      <c r="G48" s="4"/>
      <c r="H48" s="4"/>
      <c r="I48" s="4"/>
      <c r="J48" s="4"/>
    </row>
    <row r="49" spans="1:11" ht="19.5" customHeight="1" x14ac:dyDescent="0.2">
      <c r="A49" s="18" t="s">
        <v>56</v>
      </c>
      <c r="B49" s="60">
        <v>0.2</v>
      </c>
      <c r="C49" s="60">
        <v>0.25</v>
      </c>
      <c r="D49" s="60">
        <v>0.3</v>
      </c>
      <c r="E49" s="60">
        <v>0.35</v>
      </c>
      <c r="F49" s="60">
        <v>0.4</v>
      </c>
      <c r="G49" s="60">
        <v>0.5</v>
      </c>
      <c r="H49" s="60">
        <v>0.6</v>
      </c>
      <c r="I49" s="60">
        <v>0.7</v>
      </c>
      <c r="J49" s="60">
        <v>0.8</v>
      </c>
      <c r="K49" s="61"/>
    </row>
    <row r="50" spans="1:11" ht="18" customHeight="1" x14ac:dyDescent="0.2">
      <c r="A50" s="62">
        <v>60</v>
      </c>
      <c r="B50" s="63">
        <f>IFERROR(B8*(1-0.2)*(B39/12)/(1-(1+B39/12)^(-60)),0)</f>
        <v>6491.7043735397419</v>
      </c>
      <c r="C50" s="63">
        <f>IFERROR(B8*(1-0.25)*(B39/12)/(1-(1+B39/12)^(-60)),0)</f>
        <v>6085.9728501935078</v>
      </c>
      <c r="D50" s="63">
        <f>IFERROR(B8*(1-0.3)*(B39/12)/(1-(1+B39/12)^(-60)),0)</f>
        <v>5680.2413268472746</v>
      </c>
      <c r="E50" s="63">
        <f>IFERROR(B8*(1-0.35)*(B39/12)/(1-(1+B39/12)^(-60)),0)</f>
        <v>5274.5098035010406</v>
      </c>
      <c r="F50" s="63">
        <f>IFERROR(B8*(1-0.4)*(B39/12)/(1-(1+B39/12)^(-60)),0)</f>
        <v>4868.7782801548065</v>
      </c>
      <c r="G50" s="63">
        <f>IFERROR(B8*(1-0.5)*(B39/12)/(1-(1+B39/12)^(-60)),0)</f>
        <v>4057.3152334623392</v>
      </c>
      <c r="H50" s="63">
        <f>IFERROR(B8*(1-0.6)*(B39/12)/(1-(1+B39/12)^(-60)),0)</f>
        <v>3245.852186769871</v>
      </c>
      <c r="I50" s="63">
        <f>IFERROR(B8*(1-0.7)*(B39/12)/(1-(1+B39/12)^(-60)),0)</f>
        <v>2434.3891400774032</v>
      </c>
      <c r="J50" s="63">
        <f>IFERROR(B8*(1-0.8)*(B39/12)/(1-(1+B39/12)^(-60)),0)</f>
        <v>1622.9260933849353</v>
      </c>
      <c r="K50" s="61"/>
    </row>
    <row r="51" spans="1:11" ht="18" customHeight="1" x14ac:dyDescent="0.2">
      <c r="A51" s="64">
        <v>52</v>
      </c>
      <c r="B51" s="63">
        <f>IFERROR(B8*(1-0.2)*(B39/12)/(1-(1+B39/12)^(-52)),0)</f>
        <v>7371.6295452837821</v>
      </c>
      <c r="C51" s="63">
        <f>IFERROR(B8*(1-0.25)*(B39/12)/(1-(1+B39/12)^(-52)),0)</f>
        <v>6910.9026987035468</v>
      </c>
      <c r="D51" s="63">
        <f>IFERROR(B8*(1-0.3)*(B39/12)/(1-(1+B39/12)^(-52)),0)</f>
        <v>6450.1758521233105</v>
      </c>
      <c r="E51" s="63">
        <f>IFERROR(B8*(1-0.35)*(B39/12)/(1-(1+B39/12)^(-52)),0)</f>
        <v>5989.4490055430733</v>
      </c>
      <c r="F51" s="63">
        <f>IFERROR(B8*(1-0.4)*(B39/12)/(1-(1+B39/12)^(-52)),0)</f>
        <v>5528.7221589628371</v>
      </c>
      <c r="G51" s="63">
        <f>IFERROR(B8*(1-0.5)*(B39/12)/(1-(1+B39/12)^(-52)),0)</f>
        <v>4607.2684658023645</v>
      </c>
      <c r="H51" s="63">
        <f>IFERROR(B8*(1-0.6)*(B39/12)/(1-(1+B39/12)^(-52)),0)</f>
        <v>3685.8147726418911</v>
      </c>
      <c r="I51" s="63">
        <f>IFERROR(B8*(1-0.7)*(B39/12)/(1-(1+B39/12)^(-52)),0)</f>
        <v>2764.3610794814185</v>
      </c>
      <c r="J51" s="63">
        <f>IFERROR(B8*(1-0.8)*(B39/12)/(1-(1+B39/12)^(-52)),0)</f>
        <v>1842.9073863209453</v>
      </c>
      <c r="K51" s="61"/>
    </row>
    <row r="52" spans="1:11" ht="18" customHeight="1" x14ac:dyDescent="0.2">
      <c r="A52" s="62">
        <v>44</v>
      </c>
      <c r="B52" s="63">
        <f>IFERROR(B8*(1-0.2)*(B39/12)/(1-(1+B39/12)^(-44)),0)</f>
        <v>8572.9655484357354</v>
      </c>
      <c r="C52" s="63">
        <f>IFERROR(B8*(1-0.25)*(B39/12)/(1-(1+B39/12)^(-44)),0)</f>
        <v>8037.1552016585019</v>
      </c>
      <c r="D52" s="63">
        <f>IFERROR(B8*(1-0.3)*(B39/12)/(1-(1+B39/12)^(-44)),0)</f>
        <v>7501.3448548812694</v>
      </c>
      <c r="E52" s="63">
        <f>IFERROR(B8*(1-0.35)*(B39/12)/(1-(1+B39/12)^(-44)),0)</f>
        <v>6965.534508104035</v>
      </c>
      <c r="F52" s="63">
        <f>IFERROR(B8*(1-0.4)*(B39/12)/(1-(1+B39/12)^(-44)),0)</f>
        <v>6429.7241613268015</v>
      </c>
      <c r="G52" s="63">
        <f>IFERROR(B8*(1-0.5)*(B39/12)/(1-(1+B39/12)^(-44)),0)</f>
        <v>5358.1034677723346</v>
      </c>
      <c r="H52" s="63">
        <f>IFERROR(B8*(1-0.6)*(B39/12)/(1-(1+B39/12)^(-44)),0)</f>
        <v>4286.4827742178677</v>
      </c>
      <c r="I52" s="63">
        <f>IFERROR(B8*(1-0.7)*(B39/12)/(1-(1+B39/12)^(-44)),0)</f>
        <v>3214.8620806634008</v>
      </c>
      <c r="J52" s="63">
        <f>IFERROR(B8*(1-0.8)*(B39/12)/(1-(1+B39/12)^(-44)),0)</f>
        <v>2143.2413871089334</v>
      </c>
      <c r="K52" s="61"/>
    </row>
    <row r="53" spans="1:11" ht="18" customHeight="1" x14ac:dyDescent="0.2">
      <c r="A53" s="64">
        <v>36</v>
      </c>
      <c r="B53" s="63">
        <f>IFERROR(B8*(1-0.2)*(B39/12)/(1-(1+B39/12)^(-36)),0)</f>
        <v>10309.98860400489</v>
      </c>
      <c r="C53" s="63">
        <f>IFERROR(B8*(1-0.25)*(B39/12)/(1-(1+B39/12)^(-36)),0)</f>
        <v>9665.6143162545832</v>
      </c>
      <c r="D53" s="63">
        <f>IFERROR(B8*(1-0.3)*(B39/12)/(1-(1+B39/12)^(-36)),0)</f>
        <v>9021.2400285042786</v>
      </c>
      <c r="E53" s="63">
        <f>IFERROR(B8*(1-0.35)*(B39/12)/(1-(1+B39/12)^(-36)),0)</f>
        <v>8376.8657407539722</v>
      </c>
      <c r="F53" s="63">
        <f>IFERROR(B8*(1-0.4)*(B39/12)/(1-(1+B39/12)^(-36)),0)</f>
        <v>7732.4914530036676</v>
      </c>
      <c r="G53" s="63">
        <f>IFERROR(B8*(1-0.5)*(B39/12)/(1-(1+B39/12)^(-36)),0)</f>
        <v>6443.7428775030567</v>
      </c>
      <c r="H53" s="63">
        <f>IFERROR(B8*(1-0.6)*(B39/12)/(1-(1+B39/12)^(-36)),0)</f>
        <v>5154.9943020024448</v>
      </c>
      <c r="I53" s="63">
        <f>IFERROR(B8*(1-0.7)*(B39/12)/(1-(1+B39/12)^(-36)),0)</f>
        <v>3866.2457265018338</v>
      </c>
      <c r="J53" s="63">
        <f>IFERROR(B8*(1-0.8)*(B39/12)/(1-(1+B39/12)^(-36)),0)</f>
        <v>2577.4971510012219</v>
      </c>
      <c r="K53" s="61"/>
    </row>
    <row r="54" spans="1:11" ht="18" customHeight="1" x14ac:dyDescent="0.2">
      <c r="A54" s="62">
        <v>28</v>
      </c>
      <c r="B54" s="63">
        <f>IFERROR(B8*(1-0.2)*(B39/12)/(1-(1+B39/12)^(-28)),0)</f>
        <v>13041.861546332599</v>
      </c>
      <c r="C54" s="63">
        <f>IFERROR(B8*(1-0.25)*(B39/12)/(1-(1+B39/12)^(-28)),0)</f>
        <v>12226.745199686811</v>
      </c>
      <c r="D54" s="63">
        <f>IFERROR(B8*(1-0.3)*(B39/12)/(1-(1+B39/12)^(-28)),0)</f>
        <v>11411.628853041024</v>
      </c>
      <c r="E54" s="63">
        <f>IFERROR(B8*(1-0.35)*(B39/12)/(1-(1+B39/12)^(-28)),0)</f>
        <v>10596.512506395236</v>
      </c>
      <c r="F54" s="63">
        <f>IFERROR(B8*(1-0.4)*(B39/12)/(1-(1+B39/12)^(-28)),0)</f>
        <v>9781.396159749449</v>
      </c>
      <c r="G54" s="63">
        <f>IFERROR(B8*(1-0.5)*(B39/12)/(1-(1+B39/12)^(-28)),0)</f>
        <v>8151.1634664578742</v>
      </c>
      <c r="H54" s="63">
        <f>IFERROR(B8*(1-0.6)*(B39/12)/(1-(1+B39/12)^(-28)),0)</f>
        <v>6520.9307731662993</v>
      </c>
      <c r="I54" s="63">
        <f>IFERROR(B8*(1-0.7)*(B39/12)/(1-(1+B39/12)^(-28)),0)</f>
        <v>4890.6980798747245</v>
      </c>
      <c r="J54" s="63">
        <f>IFERROR(B8*(1-0.8)*(B39/12)/(1-(1+B39/12)^(-28)),0)</f>
        <v>3260.4653865831488</v>
      </c>
      <c r="K54" s="61"/>
    </row>
    <row r="55" spans="1:11" ht="18" customHeight="1" x14ac:dyDescent="0.2">
      <c r="A55" s="64">
        <v>24</v>
      </c>
      <c r="B55" s="63">
        <f>IFERROR(B8*(1-0.2)*(B39/12)/(1-(1+B39/12)^(-24)),0)</f>
        <v>15091.758068519483</v>
      </c>
      <c r="C55" s="63">
        <f>IFERROR(B8*(1-0.25)*(B39/12)/(1-(1+B39/12)^(-24)),0)</f>
        <v>14148.523189237016</v>
      </c>
      <c r="D55" s="63">
        <f>IFERROR(B8*(1-0.3)*(B39/12)/(1-(1+B39/12)^(-24)),0)</f>
        <v>13205.288309954549</v>
      </c>
      <c r="E55" s="63">
        <f>IFERROR(B8*(1-0.35)*(B39/12)/(1-(1+B39/12)^(-24)),0)</f>
        <v>12262.05343067208</v>
      </c>
      <c r="F55" s="63">
        <f>IFERROR(B8*(1-0.4)*(B39/12)/(1-(1+B39/12)^(-24)),0)</f>
        <v>11318.818551389613</v>
      </c>
      <c r="G55" s="63">
        <f>IFERROR(B8*(1-0.5)*(B39/12)/(1-(1+B39/12)^(-24)),0)</f>
        <v>9432.3487928246777</v>
      </c>
      <c r="H55" s="63">
        <f>IFERROR(B8*(1-0.6)*(B39/12)/(1-(1+B39/12)^(-24)),0)</f>
        <v>7545.8790342597413</v>
      </c>
      <c r="I55" s="63">
        <f>IFERROR(B8*(1-0.7)*(B39/12)/(1-(1+B39/12)^(-24)),0)</f>
        <v>5659.4092756948066</v>
      </c>
      <c r="J55" s="63">
        <f>IFERROR(B8*(1-0.8)*(B39/12)/(1-(1+B39/12)^(-24)),0)</f>
        <v>3772.9395171298702</v>
      </c>
      <c r="K55" s="61"/>
    </row>
    <row r="56" spans="1:11" ht="18" customHeight="1" x14ac:dyDescent="0.2">
      <c r="A56" s="62">
        <v>12</v>
      </c>
      <c r="B56" s="63">
        <f>IFERROR(B8*(1-0.2)*(B39/12)/(1-(1+B39/12)^(-12)),0)</f>
        <v>29448.973735232572</v>
      </c>
      <c r="C56" s="63">
        <f>IFERROR(B8*(1-0.25)*(B39/12)/(1-(1+B39/12)^(-12)),0)</f>
        <v>27608.412876780538</v>
      </c>
      <c r="D56" s="63">
        <f>IFERROR(B8*(1-0.3)*(B39/12)/(1-(1+B39/12)^(-12)),0)</f>
        <v>25767.852018328504</v>
      </c>
      <c r="E56" s="63">
        <f>IFERROR(B8*(1-0.35)*(B39/12)/(1-(1+B39/12)^(-12)),0)</f>
        <v>23927.291159876466</v>
      </c>
      <c r="F56" s="63">
        <f>IFERROR(B8*(1-0.4)*(B39/12)/(1-(1+B39/12)^(-12)),0)</f>
        <v>22086.730301424432</v>
      </c>
      <c r="G56" s="63">
        <f>IFERROR(B8*(1-0.5)*(B39/12)/(1-(1+B39/12)^(-12)),0)</f>
        <v>18405.60858452036</v>
      </c>
      <c r="H56" s="63">
        <f>IFERROR(B8*(1-0.6)*(B39/12)/(1-(1+B39/12)^(-12)),0)</f>
        <v>14724.486867616286</v>
      </c>
      <c r="I56" s="63">
        <f>IFERROR(B8*(1-0.7)*(B39/12)/(1-(1+B39/12)^(-12)),0)</f>
        <v>11043.365150712216</v>
      </c>
      <c r="J56" s="63">
        <f>IFERROR(B8*(1-0.8)*(B39/12)/(1-(1+B39/12)^(-12)),0)</f>
        <v>7362.2434338081421</v>
      </c>
    </row>
    <row r="57" spans="1:11" ht="19.5" customHeight="1" x14ac:dyDescent="0.2">
      <c r="A57" s="3" t="s">
        <v>57</v>
      </c>
      <c r="B57" s="3"/>
      <c r="C57" s="3"/>
      <c r="D57" s="3"/>
      <c r="E57" s="3"/>
      <c r="F57" s="3"/>
      <c r="G57" s="3"/>
      <c r="H57" s="3"/>
      <c r="I57" s="3"/>
      <c r="J57" s="3"/>
    </row>
    <row r="58" spans="1:11" ht="18" customHeight="1" x14ac:dyDescent="0.2"/>
    <row r="59" spans="1:11" ht="18" customHeight="1" x14ac:dyDescent="0.2"/>
    <row r="60" spans="1:11" ht="18" customHeight="1" x14ac:dyDescent="0.2"/>
    <row r="61" spans="1:11" ht="18" customHeight="1" x14ac:dyDescent="0.2"/>
    <row r="62" spans="1:11" ht="18" customHeight="1" x14ac:dyDescent="0.2"/>
    <row r="63" spans="1:11" ht="18" customHeight="1" x14ac:dyDescent="0.2"/>
    <row r="64" spans="1:11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</sheetData>
  <mergeCells count="15">
    <mergeCell ref="A29:B29"/>
    <mergeCell ref="A30:D30"/>
    <mergeCell ref="A34:J34"/>
    <mergeCell ref="A48:J48"/>
    <mergeCell ref="A57:J57"/>
    <mergeCell ref="B7:D7"/>
    <mergeCell ref="B8:D8"/>
    <mergeCell ref="B9:D9"/>
    <mergeCell ref="A10:D10"/>
    <mergeCell ref="A11:D11"/>
    <mergeCell ref="A1:J1"/>
    <mergeCell ref="A2:J2"/>
    <mergeCell ref="A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zoomScaleNormal="100" workbookViewId="0"/>
  </sheetViews>
  <sheetFormatPr baseColWidth="10" defaultColWidth="8.6640625" defaultRowHeight="15" x14ac:dyDescent="0.2"/>
  <cols>
    <col min="1" max="1" width="8" customWidth="1"/>
    <col min="2" max="2" width="12" customWidth="1"/>
    <col min="3" max="3" width="14" customWidth="1"/>
    <col min="4" max="8" width="10" customWidth="1"/>
    <col min="9" max="11" width="14" customWidth="1"/>
    <col min="12" max="12" width="12" customWidth="1"/>
  </cols>
  <sheetData>
    <row r="1" spans="1:12" ht="27.75" customHeight="1" x14ac:dyDescent="0.2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.75" customHeight="1" x14ac:dyDescent="0.2">
      <c r="A2" s="19" t="s">
        <v>59</v>
      </c>
      <c r="B2" s="19" t="s">
        <v>5</v>
      </c>
      <c r="C2" s="19" t="s">
        <v>4</v>
      </c>
      <c r="D2" s="19" t="s">
        <v>60</v>
      </c>
      <c r="E2" s="19" t="s">
        <v>61</v>
      </c>
      <c r="F2" s="19" t="s">
        <v>62</v>
      </c>
      <c r="G2" s="19" t="s">
        <v>63</v>
      </c>
      <c r="H2" s="19" t="s">
        <v>64</v>
      </c>
      <c r="I2" s="19" t="s">
        <v>65</v>
      </c>
      <c r="J2" s="19" t="s">
        <v>66</v>
      </c>
      <c r="K2" s="19" t="s">
        <v>67</v>
      </c>
      <c r="L2" s="19" t="s">
        <v>68</v>
      </c>
    </row>
    <row r="3" spans="1:12" ht="18" customHeight="1" x14ac:dyDescent="0.2">
      <c r="A3" s="46" t="s">
        <v>69</v>
      </c>
      <c r="B3" s="46" t="s">
        <v>70</v>
      </c>
      <c r="C3" s="46" t="s">
        <v>71</v>
      </c>
      <c r="D3" s="46">
        <v>2</v>
      </c>
      <c r="E3" s="65">
        <v>109.68</v>
      </c>
      <c r="F3" s="65">
        <v>33.26</v>
      </c>
      <c r="G3" s="65">
        <v>20.48</v>
      </c>
      <c r="H3" s="65">
        <v>12.5</v>
      </c>
      <c r="I3" s="65">
        <v>175.92</v>
      </c>
      <c r="J3" s="66">
        <v>445000</v>
      </c>
      <c r="K3" s="46" t="s">
        <v>72</v>
      </c>
      <c r="L3" s="39"/>
    </row>
    <row r="4" spans="1:12" ht="18" customHeight="1" x14ac:dyDescent="0.2">
      <c r="A4" s="45" t="s">
        <v>73</v>
      </c>
      <c r="B4" s="45" t="s">
        <v>70</v>
      </c>
      <c r="C4" s="45" t="s">
        <v>71</v>
      </c>
      <c r="D4" s="45">
        <v>2</v>
      </c>
      <c r="E4" s="67">
        <v>107.76</v>
      </c>
      <c r="F4" s="67">
        <v>32.72</v>
      </c>
      <c r="G4" s="67">
        <v>20.02</v>
      </c>
      <c r="H4" s="67">
        <v>12.5</v>
      </c>
      <c r="I4" s="67">
        <v>173</v>
      </c>
      <c r="J4" s="68">
        <v>430000</v>
      </c>
      <c r="K4" s="45" t="s">
        <v>72</v>
      </c>
      <c r="L4" s="43"/>
    </row>
    <row r="5" spans="1:12" ht="18" customHeight="1" x14ac:dyDescent="0.2">
      <c r="A5" s="46" t="s">
        <v>74</v>
      </c>
      <c r="B5" s="46" t="s">
        <v>70</v>
      </c>
      <c r="C5" s="46" t="s">
        <v>71</v>
      </c>
      <c r="D5" s="46">
        <v>2</v>
      </c>
      <c r="E5" s="65">
        <v>107.76</v>
      </c>
      <c r="F5" s="65">
        <v>32.72</v>
      </c>
      <c r="G5" s="65">
        <v>20.02</v>
      </c>
      <c r="H5" s="65">
        <v>12.5</v>
      </c>
      <c r="I5" s="65">
        <v>173</v>
      </c>
      <c r="J5" s="66">
        <v>430000</v>
      </c>
      <c r="K5" s="46" t="s">
        <v>72</v>
      </c>
      <c r="L5" s="39"/>
    </row>
    <row r="6" spans="1:12" ht="18" customHeight="1" x14ac:dyDescent="0.2">
      <c r="A6" s="45" t="s">
        <v>75</v>
      </c>
      <c r="B6" s="45" t="s">
        <v>70</v>
      </c>
      <c r="C6" s="45" t="s">
        <v>71</v>
      </c>
      <c r="D6" s="45">
        <v>2</v>
      </c>
      <c r="E6" s="67">
        <v>107.76</v>
      </c>
      <c r="F6" s="67">
        <v>32.72</v>
      </c>
      <c r="G6" s="67">
        <v>20.02</v>
      </c>
      <c r="H6" s="67">
        <v>12.5</v>
      </c>
      <c r="I6" s="67">
        <v>173</v>
      </c>
      <c r="J6" s="68">
        <v>430000</v>
      </c>
      <c r="K6" s="45" t="s">
        <v>72</v>
      </c>
      <c r="L6" s="43"/>
    </row>
    <row r="7" spans="1:12" ht="18" customHeight="1" x14ac:dyDescent="0.2">
      <c r="A7" s="46" t="s">
        <v>76</v>
      </c>
      <c r="B7" s="46" t="s">
        <v>70</v>
      </c>
      <c r="C7" s="46" t="s">
        <v>71</v>
      </c>
      <c r="D7" s="46">
        <v>2</v>
      </c>
      <c r="E7" s="65">
        <v>107.76</v>
      </c>
      <c r="F7" s="65">
        <v>32.72</v>
      </c>
      <c r="G7" s="65">
        <v>20.02</v>
      </c>
      <c r="H7" s="65">
        <v>12.5</v>
      </c>
      <c r="I7" s="65">
        <v>173</v>
      </c>
      <c r="J7" s="66">
        <v>430000</v>
      </c>
      <c r="K7" s="46" t="s">
        <v>72</v>
      </c>
      <c r="L7" s="39"/>
    </row>
    <row r="8" spans="1:12" ht="18" customHeight="1" x14ac:dyDescent="0.2">
      <c r="A8" s="69" t="s">
        <v>77</v>
      </c>
      <c r="B8" s="69" t="s">
        <v>70</v>
      </c>
      <c r="C8" s="69" t="s">
        <v>78</v>
      </c>
      <c r="D8" s="69">
        <v>1</v>
      </c>
      <c r="E8" s="70">
        <v>54.15</v>
      </c>
      <c r="F8" s="70">
        <v>18.399999999999999</v>
      </c>
      <c r="G8" s="70">
        <v>11.9</v>
      </c>
      <c r="H8" s="70">
        <v>12.5</v>
      </c>
      <c r="I8" s="70">
        <v>96.95</v>
      </c>
      <c r="J8" s="69">
        <v>0</v>
      </c>
      <c r="K8" s="69" t="s">
        <v>79</v>
      </c>
      <c r="L8" s="71"/>
    </row>
    <row r="9" spans="1:12" ht="18" customHeight="1" x14ac:dyDescent="0.2">
      <c r="A9" s="69" t="s">
        <v>80</v>
      </c>
      <c r="B9" s="69" t="s">
        <v>70</v>
      </c>
      <c r="C9" s="69" t="s">
        <v>78</v>
      </c>
      <c r="D9" s="69">
        <v>1</v>
      </c>
      <c r="E9" s="70">
        <v>60.05</v>
      </c>
      <c r="F9" s="70">
        <v>14.33</v>
      </c>
      <c r="G9" s="70">
        <v>8.1199999999999992</v>
      </c>
      <c r="H9" s="70">
        <v>12.5</v>
      </c>
      <c r="I9" s="70">
        <v>95</v>
      </c>
      <c r="J9" s="69">
        <v>0</v>
      </c>
      <c r="K9" s="69" t="s">
        <v>79</v>
      </c>
      <c r="L9" s="71"/>
    </row>
    <row r="10" spans="1:12" ht="18" customHeight="1" x14ac:dyDescent="0.2">
      <c r="A10" s="69" t="s">
        <v>81</v>
      </c>
      <c r="B10" s="69" t="s">
        <v>70</v>
      </c>
      <c r="C10" s="69" t="s">
        <v>78</v>
      </c>
      <c r="D10" s="69">
        <v>1</v>
      </c>
      <c r="E10" s="70">
        <v>52.62</v>
      </c>
      <c r="F10" s="70">
        <v>17.760000000000002</v>
      </c>
      <c r="G10" s="70">
        <v>11.52</v>
      </c>
      <c r="H10" s="70">
        <v>12.5</v>
      </c>
      <c r="I10" s="70">
        <v>94.4</v>
      </c>
      <c r="J10" s="69">
        <v>0</v>
      </c>
      <c r="K10" s="69" t="s">
        <v>79</v>
      </c>
      <c r="L10" s="71"/>
    </row>
    <row r="11" spans="1:12" ht="18" customHeight="1" x14ac:dyDescent="0.2">
      <c r="A11" s="69" t="s">
        <v>82</v>
      </c>
      <c r="B11" s="69" t="s">
        <v>70</v>
      </c>
      <c r="C11" s="69" t="s">
        <v>78</v>
      </c>
      <c r="D11" s="69">
        <v>1</v>
      </c>
      <c r="E11" s="70">
        <v>52.62</v>
      </c>
      <c r="F11" s="70">
        <v>13.87</v>
      </c>
      <c r="G11" s="70">
        <v>7.86</v>
      </c>
      <c r="H11" s="70">
        <v>12.5</v>
      </c>
      <c r="I11" s="70">
        <v>86.85</v>
      </c>
      <c r="J11" s="69">
        <v>0</v>
      </c>
      <c r="K11" s="69" t="s">
        <v>79</v>
      </c>
      <c r="L11" s="71"/>
    </row>
    <row r="12" spans="1:12" ht="18" customHeight="1" x14ac:dyDescent="0.2">
      <c r="A12" s="45" t="s">
        <v>83</v>
      </c>
      <c r="B12" s="45" t="s">
        <v>84</v>
      </c>
      <c r="C12" s="45" t="s">
        <v>71</v>
      </c>
      <c r="D12" s="45">
        <v>2</v>
      </c>
      <c r="E12" s="67">
        <v>109.68</v>
      </c>
      <c r="F12" s="67">
        <v>33.26</v>
      </c>
      <c r="G12" s="67">
        <v>20.48</v>
      </c>
      <c r="H12" s="67">
        <v>12.5</v>
      </c>
      <c r="I12" s="67">
        <v>175.92</v>
      </c>
      <c r="J12" s="68">
        <v>445000</v>
      </c>
      <c r="K12" s="45" t="s">
        <v>72</v>
      </c>
      <c r="L12" s="43"/>
    </row>
    <row r="13" spans="1:12" ht="18" customHeight="1" x14ac:dyDescent="0.2">
      <c r="A13" s="46" t="s">
        <v>85</v>
      </c>
      <c r="B13" s="46" t="s">
        <v>84</v>
      </c>
      <c r="C13" s="46" t="s">
        <v>71</v>
      </c>
      <c r="D13" s="46">
        <v>2</v>
      </c>
      <c r="E13" s="65">
        <v>107.76</v>
      </c>
      <c r="F13" s="65">
        <v>32.72</v>
      </c>
      <c r="G13" s="65">
        <v>20.02</v>
      </c>
      <c r="H13" s="65">
        <v>12.5</v>
      </c>
      <c r="I13" s="65">
        <v>173</v>
      </c>
      <c r="J13" s="66">
        <v>430000</v>
      </c>
      <c r="K13" s="46" t="s">
        <v>72</v>
      </c>
      <c r="L13" s="39"/>
    </row>
    <row r="14" spans="1:12" ht="18" customHeight="1" x14ac:dyDescent="0.2">
      <c r="A14" s="45" t="s">
        <v>86</v>
      </c>
      <c r="B14" s="45" t="s">
        <v>84</v>
      </c>
      <c r="C14" s="45" t="s">
        <v>71</v>
      </c>
      <c r="D14" s="45">
        <v>2</v>
      </c>
      <c r="E14" s="67">
        <v>107.76</v>
      </c>
      <c r="F14" s="67">
        <v>32.72</v>
      </c>
      <c r="G14" s="67">
        <v>20.02</v>
      </c>
      <c r="H14" s="67">
        <v>12.5</v>
      </c>
      <c r="I14" s="67">
        <v>173</v>
      </c>
      <c r="J14" s="68">
        <v>430000</v>
      </c>
      <c r="K14" s="45" t="s">
        <v>72</v>
      </c>
      <c r="L14" s="43"/>
    </row>
    <row r="15" spans="1:12" ht="18" customHeight="1" x14ac:dyDescent="0.2">
      <c r="A15" s="46" t="s">
        <v>87</v>
      </c>
      <c r="B15" s="46" t="s">
        <v>84</v>
      </c>
      <c r="C15" s="46" t="s">
        <v>88</v>
      </c>
      <c r="D15" s="46">
        <v>1</v>
      </c>
      <c r="E15" s="65">
        <v>56.9</v>
      </c>
      <c r="F15" s="65">
        <v>15.25</v>
      </c>
      <c r="G15" s="65">
        <v>11.27</v>
      </c>
      <c r="H15" s="65">
        <v>12.5</v>
      </c>
      <c r="I15" s="65">
        <v>95.92</v>
      </c>
      <c r="J15" s="66">
        <v>230000</v>
      </c>
      <c r="K15" s="46" t="s">
        <v>72</v>
      </c>
      <c r="L15" s="39"/>
    </row>
    <row r="16" spans="1:12" ht="18" customHeight="1" x14ac:dyDescent="0.2">
      <c r="A16" s="45" t="s">
        <v>89</v>
      </c>
      <c r="B16" s="45" t="s">
        <v>84</v>
      </c>
      <c r="C16" s="45" t="s">
        <v>90</v>
      </c>
      <c r="D16" s="45">
        <v>1</v>
      </c>
      <c r="E16" s="67">
        <v>67.599999999999994</v>
      </c>
      <c r="F16" s="67">
        <v>18.52</v>
      </c>
      <c r="G16" s="67">
        <v>8.2799999999999994</v>
      </c>
      <c r="H16" s="67">
        <v>12.5</v>
      </c>
      <c r="I16" s="67">
        <v>106.9</v>
      </c>
      <c r="J16" s="68">
        <v>250000</v>
      </c>
      <c r="K16" s="45" t="s">
        <v>72</v>
      </c>
      <c r="L16" s="43"/>
    </row>
    <row r="17" spans="1:12" ht="18" customHeight="1" x14ac:dyDescent="0.2">
      <c r="A17" s="46" t="s">
        <v>91</v>
      </c>
      <c r="B17" s="46" t="s">
        <v>84</v>
      </c>
      <c r="C17" s="46" t="s">
        <v>88</v>
      </c>
      <c r="D17" s="46">
        <v>1</v>
      </c>
      <c r="E17" s="65">
        <v>56.9</v>
      </c>
      <c r="F17" s="65">
        <v>15.25</v>
      </c>
      <c r="G17" s="65">
        <v>11.27</v>
      </c>
      <c r="H17" s="65">
        <v>12.5</v>
      </c>
      <c r="I17" s="65">
        <v>95.92</v>
      </c>
      <c r="J17" s="66">
        <v>230000</v>
      </c>
      <c r="K17" s="46" t="s">
        <v>72</v>
      </c>
      <c r="L17" s="39"/>
    </row>
    <row r="18" spans="1:12" ht="18" customHeight="1" x14ac:dyDescent="0.2">
      <c r="A18" s="45" t="s">
        <v>92</v>
      </c>
      <c r="B18" s="45" t="s">
        <v>84</v>
      </c>
      <c r="C18" s="45" t="s">
        <v>90</v>
      </c>
      <c r="D18" s="45">
        <v>1</v>
      </c>
      <c r="E18" s="67">
        <v>55</v>
      </c>
      <c r="F18" s="67">
        <v>14.33</v>
      </c>
      <c r="G18" s="67">
        <v>8.1199999999999992</v>
      </c>
      <c r="H18" s="67">
        <v>12.5</v>
      </c>
      <c r="I18" s="67">
        <v>89.95</v>
      </c>
      <c r="J18" s="68">
        <v>220000</v>
      </c>
      <c r="K18" s="45" t="s">
        <v>72</v>
      </c>
      <c r="L18" s="43"/>
    </row>
    <row r="19" spans="1:12" ht="18" customHeight="1" x14ac:dyDescent="0.2">
      <c r="A19" s="46" t="s">
        <v>93</v>
      </c>
      <c r="B19" s="46" t="s">
        <v>84</v>
      </c>
      <c r="C19" s="46" t="s">
        <v>88</v>
      </c>
      <c r="D19" s="46">
        <v>1</v>
      </c>
      <c r="E19" s="65">
        <v>56.9</v>
      </c>
      <c r="F19" s="65">
        <v>15.25</v>
      </c>
      <c r="G19" s="65">
        <v>11.27</v>
      </c>
      <c r="H19" s="65">
        <v>12.5</v>
      </c>
      <c r="I19" s="65">
        <v>95.92</v>
      </c>
      <c r="J19" s="66">
        <v>230000</v>
      </c>
      <c r="K19" s="46" t="s">
        <v>72</v>
      </c>
      <c r="L19" s="39"/>
    </row>
    <row r="20" spans="1:12" ht="18" customHeight="1" x14ac:dyDescent="0.2">
      <c r="A20" s="45" t="s">
        <v>94</v>
      </c>
      <c r="B20" s="45" t="s">
        <v>84</v>
      </c>
      <c r="C20" s="45" t="s">
        <v>90</v>
      </c>
      <c r="D20" s="45">
        <v>1</v>
      </c>
      <c r="E20" s="67">
        <v>55</v>
      </c>
      <c r="F20" s="67">
        <v>14.33</v>
      </c>
      <c r="G20" s="67">
        <v>8.1199999999999992</v>
      </c>
      <c r="H20" s="67">
        <v>12.5</v>
      </c>
      <c r="I20" s="67">
        <v>89.95</v>
      </c>
      <c r="J20" s="68">
        <v>220000</v>
      </c>
      <c r="K20" s="45" t="s">
        <v>72</v>
      </c>
      <c r="L20" s="43"/>
    </row>
    <row r="21" spans="1:12" ht="18" customHeight="1" x14ac:dyDescent="0.2">
      <c r="A21" s="46" t="s">
        <v>95</v>
      </c>
      <c r="B21" s="46" t="s">
        <v>84</v>
      </c>
      <c r="C21" s="46" t="s">
        <v>88</v>
      </c>
      <c r="D21" s="46">
        <v>1</v>
      </c>
      <c r="E21" s="65">
        <v>56.9</v>
      </c>
      <c r="F21" s="65">
        <v>15.25</v>
      </c>
      <c r="G21" s="65">
        <v>11.27</v>
      </c>
      <c r="H21" s="65">
        <v>12.5</v>
      </c>
      <c r="I21" s="65">
        <v>95.92</v>
      </c>
      <c r="J21" s="66">
        <v>240000</v>
      </c>
      <c r="K21" s="46" t="s">
        <v>72</v>
      </c>
      <c r="L21" s="39"/>
    </row>
    <row r="22" spans="1:12" ht="18" customHeight="1" x14ac:dyDescent="0.2">
      <c r="A22" s="45" t="s">
        <v>96</v>
      </c>
      <c r="B22" s="45" t="s">
        <v>84</v>
      </c>
      <c r="C22" s="45" t="s">
        <v>90</v>
      </c>
      <c r="D22" s="45">
        <v>1</v>
      </c>
      <c r="E22" s="67">
        <v>67.599999999999994</v>
      </c>
      <c r="F22" s="67">
        <v>18.52</v>
      </c>
      <c r="G22" s="67">
        <v>8.2799999999999994</v>
      </c>
      <c r="H22" s="67">
        <v>12.5</v>
      </c>
      <c r="I22" s="67">
        <v>106.9</v>
      </c>
      <c r="J22" s="68">
        <v>250000</v>
      </c>
      <c r="K22" s="45" t="s">
        <v>72</v>
      </c>
      <c r="L22" s="43"/>
    </row>
    <row r="24" spans="1:12" ht="15" customHeight="1" x14ac:dyDescent="0.2">
      <c r="A24" s="1" t="s">
        <v>97</v>
      </c>
      <c r="B24" s="1"/>
      <c r="C24" s="1"/>
      <c r="D24" s="1"/>
      <c r="E24" s="1"/>
      <c r="F24" s="1"/>
      <c r="G24" s="1"/>
      <c r="H24" s="1"/>
    </row>
  </sheetData>
  <mergeCells count="2">
    <mergeCell ref="A1:L1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SIMULADOR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damian caetano</cp:lastModifiedBy>
  <cp:revision>0</cp:revision>
  <dcterms:created xsi:type="dcterms:W3CDTF">2026-05-20T18:34:12Z</dcterms:created>
  <dcterms:modified xsi:type="dcterms:W3CDTF">2026-05-20T19:18:30Z</dcterms:modified>
  <dc:language>en-US</dc:language>
</cp:coreProperties>
</file>